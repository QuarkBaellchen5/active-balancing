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Uni\Semester 6\Projektarbeit\active-balancing\BM107\BM107_V6_Layout\"/>
    </mc:Choice>
  </mc:AlternateContent>
  <xr:revisionPtr revIDLastSave="0" documentId="13_ncr:1_{088CA72C-FBE2-4A52-940C-5AD3880A8D3A}" xr6:coauthVersionLast="47" xr6:coauthVersionMax="47" xr10:uidLastSave="{00000000-0000-0000-0000-000000000000}"/>
  <bookViews>
    <workbookView xWindow="-28920" yWindow="-4410" windowWidth="29040" windowHeight="15720" xr2:uid="{918699F1-1B84-4849-BAE5-2DB2563ABAC4}"/>
  </bookViews>
  <sheets>
    <sheet name="BM107_V6_Layout" sheetId="2" r:id="rId1"/>
    <sheet name="Tabelle1" sheetId="1" r:id="rId2"/>
  </sheets>
  <definedNames>
    <definedName name="ExterneDaten_1" localSheetId="0" hidden="1">BM107_V6_Layout!$A$1:$G$40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6" i="2" l="1"/>
  <c r="I26" i="2"/>
  <c r="K25" i="2"/>
  <c r="I25" i="2"/>
  <c r="K21" i="2"/>
  <c r="I21" i="2"/>
  <c r="K18" i="2"/>
  <c r="I18" i="2"/>
  <c r="I15" i="2"/>
  <c r="K15" i="2"/>
  <c r="K14" i="2"/>
  <c r="I14" i="2"/>
  <c r="K13" i="2"/>
  <c r="I13" i="2"/>
  <c r="I12" i="2"/>
  <c r="K12" i="2"/>
  <c r="K11" i="2"/>
  <c r="I11" i="2"/>
  <c r="I8" i="2"/>
  <c r="I7" i="2"/>
  <c r="K6" i="2"/>
  <c r="I5" i="2"/>
  <c r="I4" i="2"/>
  <c r="I3" i="2"/>
  <c r="I2" i="2"/>
  <c r="K10" i="2"/>
  <c r="K9" i="2"/>
  <c r="K8" i="2"/>
  <c r="K7" i="2"/>
  <c r="K4" i="2"/>
  <c r="K5" i="2"/>
  <c r="I6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I9" i="2" l="1"/>
  <c r="I10" i="2"/>
  <c r="K3" i="2"/>
  <c r="K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DE36DD-3CD8-4E63-A6AD-E6E09FB3B112}" keepAlive="1" name="Abfrage - BM107_V6_Layout" description="Verbindung mit der Abfrage 'BM107_V6_Layout' in der Arbeitsmappe." type="5" refreshedVersion="8" background="1" saveData="1">
    <dbPr connection="Provider=Microsoft.Mashup.OleDb.1;Data Source=$Workbook$;Location=BM107_V6_Layout;Extended Properties=&quot;&quot;" command="SELECT * FROM [BM107_V6_Layout]"/>
  </connection>
</connections>
</file>

<file path=xl/sharedStrings.xml><?xml version="1.0" encoding="utf-8"?>
<sst xmlns="http://schemas.openxmlformats.org/spreadsheetml/2006/main" count="285" uniqueCount="142">
  <si>
    <t>Reference</t>
  </si>
  <si>
    <t>Qty</t>
  </si>
  <si>
    <t>Value</t>
  </si>
  <si>
    <t>DNP</t>
  </si>
  <si>
    <t>Exclude from BOM</t>
  </si>
  <si>
    <t>Exclude from Board</t>
  </si>
  <si>
    <t>Footprint</t>
  </si>
  <si>
    <t>C1</t>
  </si>
  <si>
    <t>22u Elko</t>
  </si>
  <si>
    <t/>
  </si>
  <si>
    <t>Capacitor_SMD:CP_Elec_5x5.3</t>
  </si>
  <si>
    <t>C2,C4,C6,C9,C10,C13,C16</t>
  </si>
  <si>
    <t>0.1u</t>
  </si>
  <si>
    <t>Capacitor_SMD:C_0805_2012Metric</t>
  </si>
  <si>
    <t>C3,C23,C24,C32,C33</t>
  </si>
  <si>
    <t>10p</t>
  </si>
  <si>
    <t>C5,C7,C12,C15,C17,C18,C20,C21</t>
  </si>
  <si>
    <t>10u Elko</t>
  </si>
  <si>
    <t>C8,C11</t>
  </si>
  <si>
    <t>1u Elko</t>
  </si>
  <si>
    <t>C14,C19</t>
  </si>
  <si>
    <t>1u tantal</t>
  </si>
  <si>
    <t>C22,C31</t>
  </si>
  <si>
    <t>47u</t>
  </si>
  <si>
    <t>C25,C34</t>
  </si>
  <si>
    <t>4.7u</t>
  </si>
  <si>
    <t>C26,C27,C29,C30</t>
  </si>
  <si>
    <t>5n</t>
  </si>
  <si>
    <t>C28,C35</t>
  </si>
  <si>
    <t>220n</t>
  </si>
  <si>
    <t>D1,D2</t>
  </si>
  <si>
    <t>1N4001</t>
  </si>
  <si>
    <t>Diode_THT:D_DO-41_SOD81_P10.16mm_Horizontal</t>
  </si>
  <si>
    <t>D3,D6</t>
  </si>
  <si>
    <t>CD1408</t>
  </si>
  <si>
    <t>Aktive_Bal_Footprints:CD1408_Footprint</t>
  </si>
  <si>
    <t>D4,D5,D7,D8</t>
  </si>
  <si>
    <t>SS24</t>
  </si>
  <si>
    <t>Diode_SMD:D_SMA</t>
  </si>
  <si>
    <t>J1,J2,J5,J6</t>
  </si>
  <si>
    <t>PC5930T</t>
  </si>
  <si>
    <t>Aktive_Bal_Footprints:PC5930T_Footprint</t>
  </si>
  <si>
    <t>J3</t>
  </si>
  <si>
    <t>WAGO_1_5</t>
  </si>
  <si>
    <t>Connector_Wago:Wago_734-135_1x05_P3.50mm_Vertical</t>
  </si>
  <si>
    <t>J4</t>
  </si>
  <si>
    <t>DE9_Pins_MountingHoles</t>
  </si>
  <si>
    <t>Aktive_Bal_Footprints:D_SUB9_Stecker</t>
  </si>
  <si>
    <t>J7</t>
  </si>
  <si>
    <t>Sockel_BluePill</t>
  </si>
  <si>
    <t>Aktive_Bal_Footprints:SockelBluepill Dupont leisten</t>
  </si>
  <si>
    <t>J8</t>
  </si>
  <si>
    <t>Conn_01x02_Pin</t>
  </si>
  <si>
    <t>Connector_PinHeader_2.54mm:PinHeader_1x02_P2.54mm_Vertical</t>
  </si>
  <si>
    <t>JP1</t>
  </si>
  <si>
    <t>Jumper_2_Open</t>
  </si>
  <si>
    <t>Jumper:SolderJumper-2_P1.3mm_Open_TrianglePad1.0x1.5mm</t>
  </si>
  <si>
    <t>Q1,Q2,Q3,Q4</t>
  </si>
  <si>
    <t>BSC016N06NS</t>
  </si>
  <si>
    <t>Package_TO_SOT_SMD:TDSON-8-1</t>
  </si>
  <si>
    <t>R1</t>
  </si>
  <si>
    <t>120</t>
  </si>
  <si>
    <t>Resistor_SMD:R_0805_2012Metric</t>
  </si>
  <si>
    <t>R2</t>
  </si>
  <si>
    <t>2.1k</t>
  </si>
  <si>
    <t>R3</t>
  </si>
  <si>
    <t>240</t>
  </si>
  <si>
    <t>R4,R5</t>
  </si>
  <si>
    <t>R</t>
  </si>
  <si>
    <t>R6,R7,R13,R14</t>
  </si>
  <si>
    <t>100k</t>
  </si>
  <si>
    <t>R8,R9,R20,R21</t>
  </si>
  <si>
    <t>49</t>
  </si>
  <si>
    <t>R10,R22</t>
  </si>
  <si>
    <t>2.2</t>
  </si>
  <si>
    <t>R11,R12,R15,R16</t>
  </si>
  <si>
    <t>1.5</t>
  </si>
  <si>
    <t>R17,R18,R23,R24</t>
  </si>
  <si>
    <t>100</t>
  </si>
  <si>
    <t>R26</t>
  </si>
  <si>
    <t>Shunt_BVT-M-R0005</t>
  </si>
  <si>
    <t>Aktive_Bal_Footprints:Shunt_BVT-M-R0005</t>
  </si>
  <si>
    <t>U1</t>
  </si>
  <si>
    <t>SN65HVD233</t>
  </si>
  <si>
    <t>Package_SO:SOIC-8_3.9x4.9mm_P1.27mm</t>
  </si>
  <si>
    <t>U2</t>
  </si>
  <si>
    <t>LT1999-50</t>
  </si>
  <si>
    <t>Package_SO:MSOP-8_3x3mm_P0.65mm</t>
  </si>
  <si>
    <t>U3</t>
  </si>
  <si>
    <t>R-78K15-0.5</t>
  </si>
  <si>
    <t>Converter_DCDC:Converter_DCDC_RECOM_R-78E-0.5_THT</t>
  </si>
  <si>
    <t>U4</t>
  </si>
  <si>
    <t>ADR3036</t>
  </si>
  <si>
    <t>U5</t>
  </si>
  <si>
    <t>LM317_SOT-223</t>
  </si>
  <si>
    <t>Package_TO_SOT_SMD:SOT-223-3_TabPin2</t>
  </si>
  <si>
    <t>U6</t>
  </si>
  <si>
    <t>R-78K5.0-0.5</t>
  </si>
  <si>
    <t>U7</t>
  </si>
  <si>
    <t>AD8031</t>
  </si>
  <si>
    <t>Package_TO_SOT_SMD:SOT-23-5</t>
  </si>
  <si>
    <t>U8</t>
  </si>
  <si>
    <t>LD1117S33TR_SOT223</t>
  </si>
  <si>
    <t>U9,U10</t>
  </si>
  <si>
    <t>UCC27734</t>
  </si>
  <si>
    <t>Aktive_Bal_Footprints:SOIC-8_3.9x4.9mm_P1.27mm_UCC27734</t>
  </si>
  <si>
    <t>Quelle</t>
  </si>
  <si>
    <t>https://www.digikey.de/de/products/detail/chemi-con/HHXD350ARA220ME61G/10486637</t>
  </si>
  <si>
    <t>https://www.digikey.de/de/products/detail/taiyo-yuden/GMK212BJ104KGHT/4157462</t>
  </si>
  <si>
    <t>https://www.digikey.de/de/products/detail/johanson-technology-inc/QSCT251Q100J1GV001E/1833671</t>
  </si>
  <si>
    <t>https://www.digikey.de/de/products/detail/panasonic-industry/EEH-ZA1H100R/3088124</t>
  </si>
  <si>
    <t>https://www.reichelt.de/de/de/shop/produkt/smd-elko_1_f_50v_85_c_2000h_20_-228472?PROVID=2788</t>
  </si>
  <si>
    <t>https://www.digikey.de/de/products/detail/kyocera-avx/TLCR105M035RTA/1950876</t>
  </si>
  <si>
    <t>https://www.digikey.de/de/products/detail/panasonic-industry/EEH-ZC1V470P/3088062</t>
  </si>
  <si>
    <t>https://www.digikey.de/de/products/detail/samsung-electro-mechanics/CL21A475KLCLQNC/5961206</t>
  </si>
  <si>
    <t>https://www.digikey.de/de/products/detail/taiyo-yuden/GMK212B7224KGHT/4157461</t>
  </si>
  <si>
    <t>Stückzahl für 10 Platinen</t>
  </si>
  <si>
    <t>Stückzahl für 100 Platinen</t>
  </si>
  <si>
    <t>Kosten Stückzahl 100 (Preis pro 100 Stk*Stückzahl pro Platine)</t>
  </si>
  <si>
    <t>Kosten Stückzahl 10 (Preis pro 10 Stk*Stückzahl pro Platine)</t>
  </si>
  <si>
    <t>https://www.digikey.de/de/products/detail/diotec-semiconductor/1N4001/13164614</t>
  </si>
  <si>
    <t>https://www.digikey.de/de/products/detail/bourns-inc/CD1408-R1200/3741985</t>
  </si>
  <si>
    <t>https://www.digikey.de/de/products/detail/shenzhen-slkormicro-semicon-co-ltd/SS24/21853057</t>
  </si>
  <si>
    <t>https://www.digikey.de/de/products/detail/anderson-power-products-inc/PC5930T-BK/10650579</t>
  </si>
  <si>
    <t>https://www.digikey.de/de/products/detail/wago-corporation/2086-3105/15517180</t>
  </si>
  <si>
    <t>https://www.digikey.de/de/products/detail/assmann-wsw-components/A-DF-09-A-KG-T4S/1241802</t>
  </si>
  <si>
    <t>https://www.az-delivery.de/en/products/stm32f103c8t6?variant=8196210917472</t>
  </si>
  <si>
    <t>https://www.digikey.de/de/products/detail/harwin-inc/M20-9990246/3728226</t>
  </si>
  <si>
    <t>Lötverbinder direkt Kupfer auf Platine</t>
  </si>
  <si>
    <t>https://www.digikey.de/de/products/detail/infineon-technologies/BSC016N06NSATMA1/3719792</t>
  </si>
  <si>
    <t>https://www.digikey.de/de/products/detail/vishay-dale/CRCW08052K10FKEA/1175671</t>
  </si>
  <si>
    <t>selber Preis</t>
  </si>
  <si>
    <t>https://www.digikey.de/de/products/detail/isabellenhuette-usa/bvt-m-r0005-1-0/16733158</t>
  </si>
  <si>
    <t>https://www.digikey.de/de/products/detail/texas-instruments/SN65HVD233DR/1574509</t>
  </si>
  <si>
    <t>https://www.mouser.de/ProductDetail/Analog-Devices/LT1999IS8-50PBF?qs=ytflclh7QUWcSqdZKCLSlg%3D%3D</t>
  </si>
  <si>
    <t>https://www.mouser.de/ProductDetail/RECOM-Power/R-78K15-0.5?qs=Jm2GQyTW%2FbiCCXcaixC3IA%3D%3D</t>
  </si>
  <si>
    <t>https://www.mouser.de/ProductDetail/Analog-Devices/ADR3630BRMZ?qs=ulEaXIWI0c%2FOpFhuolg9VQ%3D%3D</t>
  </si>
  <si>
    <t>https://www.mouser.de/ProductDetail/Texas-Instruments/LM317DCYRG3?qs=sGAEpiMZZMuLLNXTG1MZancCEioknfqTf3phtJY7AM0%3D</t>
  </si>
  <si>
    <t>https://www.digikey.de/de/products/detail/recom-power/R-78K5-0-0-5/18093025</t>
  </si>
  <si>
    <t>https://www.mouser.de/ProductDetail/Analog-Devices/AD8031ARTZ-REEL7?qs=%2FtpEQrCGXCyXzqmvWf2VdQ%3D%3D</t>
  </si>
  <si>
    <t>https://www.mouser.de/ProductDetail/STMicroelectronics/LD1117S33TR?qs=edoyzKMbmhntQZx4BFmoqw%3D%3D</t>
  </si>
  <si>
    <t>https://www.mouser.de/ProductDetail/Texas-Instruments/UCC27734QDRQ1?qs=PBDs2xEllI%2FilXPydpyARg%3D%3D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</si>
</sst>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8" fontId="0" fillId="0" borderId="0" xfId="0" applyNumberFormat="1"/>
    <xf numFmtId="0" fontId="1" fillId="0" borderId="0" xfId="1" applyNumberFormat="1"/>
    <xf numFmtId="0" fontId="1" fillId="0" borderId="0" xfId="1"/>
    <xf numFmtId="6" fontId="0" fillId="0" borderId="0" xfId="0" applyNumberFormat="1"/>
  </cellXfs>
  <cellStyles count="2">
    <cellStyle name="Link" xfId="1" builtinId="8"/>
    <cellStyle name="Standard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970D3C06-D6B3-42CB-B92B-43E9F1458E20}" autoFormatId="16" applyNumberFormats="0" applyBorderFormats="0" applyFontFormats="0" applyPatternFormats="0" applyAlignmentFormats="0" applyWidthHeightFormats="0">
  <queryTableRefresh nextId="17" unboundColumnsRight="5">
    <queryTableFields count="12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11" dataBound="0" tableColumnId="12"/>
      <queryTableField id="8" dataBound="0" tableColumnId="8"/>
      <queryTableField id="16" dataBound="0" tableColumnId="1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77FE0A-A38E-4409-81C4-FAF5F65E10B1}" name="BM107_V6_Layout" displayName="BM107_V6_Layout" ref="A1:L40" tableType="queryTable" totalsRowShown="0">
  <autoFilter ref="A1:L40" xr:uid="{3F77FE0A-A38E-4409-81C4-FAF5F65E10B1}"/>
  <tableColumns count="12">
    <tableColumn id="1" xr3:uid="{60E99FC0-45F6-4AB4-8FB6-D93C680A901A}" uniqueName="1" name="Reference" queryTableFieldId="1" dataDxfId="10"/>
    <tableColumn id="2" xr3:uid="{3E3F015B-A0EE-458D-961C-068453D5CB7C}" uniqueName="2" name="Qty" queryTableFieldId="2"/>
    <tableColumn id="3" xr3:uid="{9206E376-7C51-44EF-AECB-D096BE006700}" uniqueName="3" name="Value" queryTableFieldId="3" dataDxfId="9"/>
    <tableColumn id="4" xr3:uid="{9B6378EC-E612-4806-AE3C-A4CE496C2ADD}" uniqueName="4" name="DNP" queryTableFieldId="4" dataDxfId="8"/>
    <tableColumn id="5" xr3:uid="{F99D5491-8A41-4F46-8B8B-D8FB0E303CBD}" uniqueName="5" name="Exclude from BOM" queryTableFieldId="5" dataDxfId="7"/>
    <tableColumn id="6" xr3:uid="{5C123A82-8310-482A-8170-0B1B8C78A17F}" uniqueName="6" name="Exclude from Board" queryTableFieldId="6" dataDxfId="6"/>
    <tableColumn id="7" xr3:uid="{EE316574-29CC-4C34-BD36-9D6BF00A3113}" uniqueName="7" name="Footprint" queryTableFieldId="7" dataDxfId="5"/>
    <tableColumn id="12" xr3:uid="{890D6B56-8EF6-4CA4-939B-C67156548BA1}" uniqueName="12" name="Stückzahl für 10 Platinen" queryTableFieldId="11" dataDxfId="4">
      <calculatedColumnFormula>BM107_V6_Layout[[#This Row],[Qty]]*10</calculatedColumnFormula>
    </tableColumn>
    <tableColumn id="8" xr3:uid="{D0B85194-8D6F-4385-A736-061724C75029}" uniqueName="8" name="Kosten Stückzahl 10 (Preis pro 10 Stk*Stückzahl pro Platine)" queryTableFieldId="8" dataDxfId="3"/>
    <tableColumn id="18" xr3:uid="{8EB1561F-2BE9-49AF-B44E-7407BEE40A17}" uniqueName="18" name="Stückzahl für 100 Platinen" queryTableFieldId="16" dataDxfId="2">
      <calculatedColumnFormula>BM107_V6_Layout[[#This Row],[Qty]]*100</calculatedColumnFormula>
    </tableColumn>
    <tableColumn id="9" xr3:uid="{6F45B732-D151-4D43-B12D-A66A06D22536}" uniqueName="9" name="Kosten Stückzahl 100 (Preis pro 100 Stk*Stückzahl pro Platine)" queryTableFieldId="9" dataDxfId="1"/>
    <tableColumn id="10" xr3:uid="{5A7D35DF-D8D2-4E89-B0FD-9A047A54CE32}" uniqueName="10" name="Quell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de/de/products/detail/anderson-power-products-inc/PC5930T-BK/10650579" TargetMode="External"/><Relationship Id="rId2" Type="http://schemas.openxmlformats.org/officeDocument/2006/relationships/hyperlink" Target="https://www.digikey.de/de/products/detail/panasonic-industry/EEH-ZA1H100R/3088124" TargetMode="External"/><Relationship Id="rId1" Type="http://schemas.openxmlformats.org/officeDocument/2006/relationships/hyperlink" Target="https://www.digikey.de/de/products/detail/taiyo-yuden/GMK212BJ104KGHT/4157462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2859-B21F-43B8-B2EA-5034B1D08FF4}">
  <dimension ref="A1:L40"/>
  <sheetViews>
    <sheetView tabSelected="1" zoomScale="55" zoomScaleNormal="55" workbookViewId="0">
      <selection activeCell="I41" sqref="I41"/>
    </sheetView>
  </sheetViews>
  <sheetFormatPr baseColWidth="10" defaultRowHeight="14.5" x14ac:dyDescent="0.35"/>
  <cols>
    <col min="1" max="1" width="29.08984375" bestFit="1" customWidth="1"/>
    <col min="2" max="2" width="5.90625" bestFit="1" customWidth="1"/>
    <col min="3" max="3" width="21.453125" bestFit="1" customWidth="1"/>
    <col min="4" max="4" width="6.7265625" bestFit="1" customWidth="1"/>
    <col min="5" max="5" width="18.26953125" bestFit="1" customWidth="1"/>
    <col min="6" max="6" width="19.26953125" bestFit="1" customWidth="1"/>
    <col min="7" max="7" width="56.08984375" bestFit="1" customWidth="1"/>
    <col min="8" max="8" width="25.81640625" customWidth="1"/>
    <col min="9" max="9" width="53.81640625" customWidth="1"/>
    <col min="10" max="10" width="26.08984375" customWidth="1"/>
    <col min="11" max="11" width="57.1796875" customWidth="1"/>
    <col min="12" max="12" width="115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116</v>
      </c>
      <c r="I1" t="s">
        <v>119</v>
      </c>
      <c r="J1" t="s">
        <v>117</v>
      </c>
      <c r="K1" t="s">
        <v>118</v>
      </c>
      <c r="L1" t="s">
        <v>106</v>
      </c>
    </row>
    <row r="2" spans="1:12" x14ac:dyDescent="0.35">
      <c r="A2" t="s">
        <v>7</v>
      </c>
      <c r="B2">
        <v>1</v>
      </c>
      <c r="C2" t="s">
        <v>8</v>
      </c>
      <c r="D2" t="s">
        <v>9</v>
      </c>
      <c r="E2" t="s">
        <v>9</v>
      </c>
      <c r="F2" t="s">
        <v>9</v>
      </c>
      <c r="G2" t="s">
        <v>10</v>
      </c>
      <c r="H2">
        <f>BM107_V6_Layout[[#This Row],[Qty]]*10</f>
        <v>10</v>
      </c>
      <c r="I2" s="1">
        <f>5.65*BM107_V6_Layout[[#This Row],[Stückzahl für 10 Platinen]]/10</f>
        <v>5.65</v>
      </c>
      <c r="J2">
        <f>BM107_V6_Layout[[#This Row],[Qty]]*100</f>
        <v>100</v>
      </c>
      <c r="K2" s="1">
        <f>38.62*BM107_V6_Layout[[#This Row],[Stückzahl für 100 Platinen]]/100</f>
        <v>38.619999999999997</v>
      </c>
      <c r="L2" t="s">
        <v>107</v>
      </c>
    </row>
    <row r="3" spans="1:12" x14ac:dyDescent="0.35">
      <c r="A3" t="s">
        <v>11</v>
      </c>
      <c r="B3">
        <v>7</v>
      </c>
      <c r="C3" t="s">
        <v>12</v>
      </c>
      <c r="D3" t="s">
        <v>9</v>
      </c>
      <c r="E3" t="s">
        <v>9</v>
      </c>
      <c r="F3" t="s">
        <v>9</v>
      </c>
      <c r="G3" t="s">
        <v>13</v>
      </c>
      <c r="H3">
        <f>BM107_V6_Layout[[#This Row],[Qty]]*10</f>
        <v>70</v>
      </c>
      <c r="I3" s="1">
        <f>0.76*H3/10</f>
        <v>5.32</v>
      </c>
      <c r="J3">
        <f>BM107_V6_Layout[[#This Row],[Qty]]*100</f>
        <v>700</v>
      </c>
      <c r="K3" s="1">
        <f>4.65*BM107_V6_Layout[[#This Row],[Stückzahl für 100 Platinen]]/100</f>
        <v>32.550000000000004</v>
      </c>
      <c r="L3" s="2" t="s">
        <v>108</v>
      </c>
    </row>
    <row r="4" spans="1:12" x14ac:dyDescent="0.35">
      <c r="A4" t="s">
        <v>14</v>
      </c>
      <c r="B4">
        <v>5</v>
      </c>
      <c r="C4" t="s">
        <v>15</v>
      </c>
      <c r="D4" t="s">
        <v>9</v>
      </c>
      <c r="E4" t="s">
        <v>9</v>
      </c>
      <c r="F4" t="s">
        <v>9</v>
      </c>
      <c r="G4" t="s">
        <v>13</v>
      </c>
      <c r="H4">
        <f>BM107_V6_Layout[[#This Row],[Qty]]*10</f>
        <v>50</v>
      </c>
      <c r="I4" s="1">
        <f>2.19*BM107_V6_Layout[[#This Row],[Stückzahl für 10 Platinen]]/10</f>
        <v>10.95</v>
      </c>
      <c r="J4">
        <f>BM107_V6_Layout[[#This Row],[Qty]]*100</f>
        <v>500</v>
      </c>
      <c r="K4" s="1">
        <f>14.5*BM107_V6_Layout[[#This Row],[Stückzahl für 100 Platinen]]/100</f>
        <v>72.5</v>
      </c>
      <c r="L4" t="s">
        <v>109</v>
      </c>
    </row>
    <row r="5" spans="1:12" x14ac:dyDescent="0.35">
      <c r="A5" t="s">
        <v>16</v>
      </c>
      <c r="B5">
        <v>8</v>
      </c>
      <c r="C5" t="s">
        <v>17</v>
      </c>
      <c r="D5" t="s">
        <v>9</v>
      </c>
      <c r="E5" t="s">
        <v>9</v>
      </c>
      <c r="F5" t="s">
        <v>9</v>
      </c>
      <c r="G5" t="s">
        <v>10</v>
      </c>
      <c r="H5">
        <f>BM107_V6_Layout[[#This Row],[Qty]]*10</f>
        <v>80</v>
      </c>
      <c r="I5" s="1">
        <f>8.98*BM107_V6_Layout[[#This Row],[Stückzahl für 10 Platinen]]/10</f>
        <v>71.84</v>
      </c>
      <c r="J5">
        <f>BM107_V6_Layout[[#This Row],[Qty]]*100</f>
        <v>800</v>
      </c>
      <c r="K5" s="1">
        <f>62.92*BM107_V6_Layout[[#This Row],[Qty]]/100</f>
        <v>5.0335999999999999</v>
      </c>
      <c r="L5" s="2" t="s">
        <v>110</v>
      </c>
    </row>
    <row r="6" spans="1:12" x14ac:dyDescent="0.35">
      <c r="A6" t="s">
        <v>18</v>
      </c>
      <c r="B6">
        <v>2</v>
      </c>
      <c r="C6" t="s">
        <v>19</v>
      </c>
      <c r="D6" t="s">
        <v>9</v>
      </c>
      <c r="E6" t="s">
        <v>9</v>
      </c>
      <c r="F6" t="s">
        <v>9</v>
      </c>
      <c r="G6" t="s">
        <v>10</v>
      </c>
      <c r="H6">
        <f>BM107_V6_Layout[[#This Row],[Qty]]*10</f>
        <v>20</v>
      </c>
      <c r="I6" s="1">
        <f>BM107_V6_Layout[[#This Row],[Stückzahl für 10 Platinen]]*1.8</f>
        <v>36</v>
      </c>
      <c r="J6">
        <f>BM107_V6_Layout[[#This Row],[Qty]]*100</f>
        <v>200</v>
      </c>
      <c r="K6" s="1">
        <f>1.8*200</f>
        <v>360</v>
      </c>
      <c r="L6" t="s">
        <v>111</v>
      </c>
    </row>
    <row r="7" spans="1:12" x14ac:dyDescent="0.35">
      <c r="A7" t="s">
        <v>20</v>
      </c>
      <c r="B7">
        <v>2</v>
      </c>
      <c r="C7" t="s">
        <v>21</v>
      </c>
      <c r="D7" t="s">
        <v>9</v>
      </c>
      <c r="E7" t="s">
        <v>9</v>
      </c>
      <c r="F7" t="s">
        <v>9</v>
      </c>
      <c r="G7" t="s">
        <v>13</v>
      </c>
      <c r="H7">
        <f>BM107_V6_Layout[[#This Row],[Qty]]*10</f>
        <v>20</v>
      </c>
      <c r="I7" s="1">
        <f>BM107_V6_Layout[[#This Row],[Stückzahl für 10 Platinen]]*13.85/10</f>
        <v>27.7</v>
      </c>
      <c r="J7">
        <f>BM107_V6_Layout[[#This Row],[Qty]]*100</f>
        <v>200</v>
      </c>
      <c r="K7" s="1">
        <f>104.96*2</f>
        <v>209.92</v>
      </c>
      <c r="L7" t="s">
        <v>112</v>
      </c>
    </row>
    <row r="8" spans="1:12" x14ac:dyDescent="0.35">
      <c r="A8" t="s">
        <v>22</v>
      </c>
      <c r="B8">
        <v>2</v>
      </c>
      <c r="C8" t="s">
        <v>23</v>
      </c>
      <c r="D8" t="s">
        <v>9</v>
      </c>
      <c r="E8" t="s">
        <v>9</v>
      </c>
      <c r="F8" t="s">
        <v>9</v>
      </c>
      <c r="G8" t="s">
        <v>13</v>
      </c>
      <c r="H8">
        <f>BM107_V6_Layout[[#This Row],[Qty]]*10</f>
        <v>20</v>
      </c>
      <c r="I8" s="1">
        <f>4.66*BM107_V6_Layout[[#This Row],[Stückzahl für 10 Platinen]]/10</f>
        <v>9.32</v>
      </c>
      <c r="J8">
        <f>BM107_V6_Layout[[#This Row],[Qty]]*100</f>
        <v>200</v>
      </c>
      <c r="K8" s="1">
        <f>31.47*2</f>
        <v>62.94</v>
      </c>
      <c r="L8" t="s">
        <v>113</v>
      </c>
    </row>
    <row r="9" spans="1:12" x14ac:dyDescent="0.35">
      <c r="A9" t="s">
        <v>24</v>
      </c>
      <c r="B9">
        <v>2</v>
      </c>
      <c r="C9" t="s">
        <v>25</v>
      </c>
      <c r="D9" t="s">
        <v>9</v>
      </c>
      <c r="E9" t="s">
        <v>9</v>
      </c>
      <c r="F9" t="s">
        <v>9</v>
      </c>
      <c r="G9" t="s">
        <v>13</v>
      </c>
      <c r="H9">
        <f>BM107_V6_Layout[[#This Row],[Qty]]*10</f>
        <v>20</v>
      </c>
      <c r="I9" s="1">
        <f>0.85*BM107_V6_Layout[[#This Row],[Stückzahl für 10 Platinen]]/10</f>
        <v>1.7</v>
      </c>
      <c r="J9">
        <f>BM107_V6_Layout[[#This Row],[Qty]]*100</f>
        <v>200</v>
      </c>
      <c r="K9" s="1">
        <f>5.24*2</f>
        <v>10.48</v>
      </c>
      <c r="L9" t="s">
        <v>114</v>
      </c>
    </row>
    <row r="10" spans="1:12" x14ac:dyDescent="0.35">
      <c r="A10" t="s">
        <v>26</v>
      </c>
      <c r="B10">
        <v>4</v>
      </c>
      <c r="C10" t="s">
        <v>27</v>
      </c>
      <c r="D10" t="s">
        <v>9</v>
      </c>
      <c r="E10" t="s">
        <v>9</v>
      </c>
      <c r="F10" t="s">
        <v>9</v>
      </c>
      <c r="G10" t="s">
        <v>13</v>
      </c>
      <c r="H10">
        <f>BM107_V6_Layout[[#This Row],[Qty]]*10</f>
        <v>40</v>
      </c>
      <c r="I10" s="1">
        <f>BM107_V6_Layout[[#This Row],[Stückzahl für 10 Platinen]]*0.87/10</f>
        <v>3.4799999999999995</v>
      </c>
      <c r="J10">
        <f>BM107_V6_Layout[[#This Row],[Qty]]*100</f>
        <v>400</v>
      </c>
      <c r="K10" s="1">
        <f>5.35*4</f>
        <v>21.4</v>
      </c>
      <c r="L10" t="s">
        <v>115</v>
      </c>
    </row>
    <row r="11" spans="1:12" x14ac:dyDescent="0.35">
      <c r="A11" t="s">
        <v>28</v>
      </c>
      <c r="B11">
        <v>2</v>
      </c>
      <c r="C11" t="s">
        <v>29</v>
      </c>
      <c r="D11" t="s">
        <v>9</v>
      </c>
      <c r="E11" t="s">
        <v>9</v>
      </c>
      <c r="F11" t="s">
        <v>9</v>
      </c>
      <c r="G11" t="s">
        <v>13</v>
      </c>
      <c r="H11">
        <f>BM107_V6_Layout[[#This Row],[Qty]]*10</f>
        <v>20</v>
      </c>
      <c r="I11" s="1">
        <f>2*0.87</f>
        <v>1.74</v>
      </c>
      <c r="J11">
        <f>BM107_V6_Layout[[#This Row],[Qty]]*100</f>
        <v>200</v>
      </c>
      <c r="K11" s="1">
        <f>2*5.35</f>
        <v>10.7</v>
      </c>
      <c r="L11" t="s">
        <v>115</v>
      </c>
    </row>
    <row r="12" spans="1:12" x14ac:dyDescent="0.35">
      <c r="A12" t="s">
        <v>30</v>
      </c>
      <c r="B12">
        <v>2</v>
      </c>
      <c r="C12" t="s">
        <v>31</v>
      </c>
      <c r="D12" t="s">
        <v>9</v>
      </c>
      <c r="E12" t="s">
        <v>9</v>
      </c>
      <c r="F12" t="s">
        <v>9</v>
      </c>
      <c r="G12" t="s">
        <v>32</v>
      </c>
      <c r="H12">
        <f>BM107_V6_Layout[[#This Row],[Qty]]*10</f>
        <v>20</v>
      </c>
      <c r="I12" s="1">
        <f>2*0.75</f>
        <v>1.5</v>
      </c>
      <c r="J12">
        <f>BM107_V6_Layout[[#This Row],[Qty]]*100</f>
        <v>200</v>
      </c>
      <c r="K12" s="1">
        <f>2*4.6</f>
        <v>9.1999999999999993</v>
      </c>
      <c r="L12" t="s">
        <v>120</v>
      </c>
    </row>
    <row r="13" spans="1:12" x14ac:dyDescent="0.35">
      <c r="A13" t="s">
        <v>33</v>
      </c>
      <c r="B13">
        <v>2</v>
      </c>
      <c r="C13" t="s">
        <v>34</v>
      </c>
      <c r="D13" t="s">
        <v>9</v>
      </c>
      <c r="E13" t="s">
        <v>9</v>
      </c>
      <c r="F13" t="s">
        <v>9</v>
      </c>
      <c r="G13" t="s">
        <v>35</v>
      </c>
      <c r="H13">
        <f>BM107_V6_Layout[[#This Row],[Qty]]*10</f>
        <v>20</v>
      </c>
      <c r="I13" s="1">
        <f>2*1.94</f>
        <v>3.88</v>
      </c>
      <c r="J13">
        <f>BM107_V6_Layout[[#This Row],[Qty]]*100</f>
        <v>200</v>
      </c>
      <c r="K13" s="1">
        <f>2*12.11</f>
        <v>24.22</v>
      </c>
      <c r="L13" t="s">
        <v>121</v>
      </c>
    </row>
    <row r="14" spans="1:12" x14ac:dyDescent="0.35">
      <c r="A14" t="s">
        <v>36</v>
      </c>
      <c r="B14">
        <v>4</v>
      </c>
      <c r="C14" t="s">
        <v>37</v>
      </c>
      <c r="D14" t="s">
        <v>9</v>
      </c>
      <c r="E14" t="s">
        <v>9</v>
      </c>
      <c r="F14" t="s">
        <v>9</v>
      </c>
      <c r="G14" t="s">
        <v>38</v>
      </c>
      <c r="H14">
        <f>BM107_V6_Layout[[#This Row],[Qty]]*10</f>
        <v>40</v>
      </c>
      <c r="I14" s="1">
        <f>4*0.68</f>
        <v>2.72</v>
      </c>
      <c r="J14">
        <f>BM107_V6_Layout[[#This Row],[Qty]]*100</f>
        <v>400</v>
      </c>
      <c r="K14" s="1">
        <f>4*14.89</f>
        <v>59.56</v>
      </c>
      <c r="L14" t="s">
        <v>122</v>
      </c>
    </row>
    <row r="15" spans="1:12" x14ac:dyDescent="0.35">
      <c r="A15" t="s">
        <v>39</v>
      </c>
      <c r="B15">
        <v>4</v>
      </c>
      <c r="C15" t="s">
        <v>40</v>
      </c>
      <c r="D15" t="s">
        <v>9</v>
      </c>
      <c r="E15" t="s">
        <v>9</v>
      </c>
      <c r="F15" t="s">
        <v>9</v>
      </c>
      <c r="G15" t="s">
        <v>41</v>
      </c>
      <c r="H15">
        <f>BM107_V6_Layout[[#This Row],[Qty]]*10</f>
        <v>40</v>
      </c>
      <c r="I15" s="1">
        <f>4*55.23</f>
        <v>220.92</v>
      </c>
      <c r="J15">
        <f>BM107_V6_Layout[[#This Row],[Qty]]*100</f>
        <v>400</v>
      </c>
      <c r="K15" s="1">
        <f>4*469.44</f>
        <v>1877.76</v>
      </c>
      <c r="L15" s="3" t="s">
        <v>123</v>
      </c>
    </row>
    <row r="16" spans="1:12" x14ac:dyDescent="0.35">
      <c r="A16" t="s">
        <v>42</v>
      </c>
      <c r="B16">
        <v>1</v>
      </c>
      <c r="C16" t="s">
        <v>43</v>
      </c>
      <c r="D16" t="s">
        <v>9</v>
      </c>
      <c r="E16" t="s">
        <v>9</v>
      </c>
      <c r="F16" t="s">
        <v>9</v>
      </c>
      <c r="G16" t="s">
        <v>44</v>
      </c>
      <c r="H16">
        <f>BM107_V6_Layout[[#This Row],[Qty]]*10</f>
        <v>10</v>
      </c>
      <c r="I16" s="1">
        <v>22.12</v>
      </c>
      <c r="J16">
        <f>BM107_V6_Layout[[#This Row],[Qty]]*100</f>
        <v>100</v>
      </c>
      <c r="K16" s="1">
        <v>161.22</v>
      </c>
      <c r="L16" t="s">
        <v>124</v>
      </c>
    </row>
    <row r="17" spans="1:12" x14ac:dyDescent="0.35">
      <c r="A17" t="s">
        <v>45</v>
      </c>
      <c r="B17">
        <v>1</v>
      </c>
      <c r="C17" t="s">
        <v>46</v>
      </c>
      <c r="D17" t="s">
        <v>9</v>
      </c>
      <c r="E17" t="s">
        <v>9</v>
      </c>
      <c r="F17" t="s">
        <v>9</v>
      </c>
      <c r="G17" t="s">
        <v>47</v>
      </c>
      <c r="H17">
        <f>BM107_V6_Layout[[#This Row],[Qty]]*10</f>
        <v>10</v>
      </c>
      <c r="I17" s="1">
        <v>5.5</v>
      </c>
      <c r="J17">
        <f>BM107_V6_Layout[[#This Row],[Qty]]*100</f>
        <v>100</v>
      </c>
      <c r="K17" s="1">
        <v>80.680000000000007</v>
      </c>
      <c r="L17" t="s">
        <v>125</v>
      </c>
    </row>
    <row r="18" spans="1:12" x14ac:dyDescent="0.35">
      <c r="A18" t="s">
        <v>48</v>
      </c>
      <c r="B18">
        <v>1</v>
      </c>
      <c r="C18" t="s">
        <v>49</v>
      </c>
      <c r="D18" t="s">
        <v>9</v>
      </c>
      <c r="E18" t="s">
        <v>9</v>
      </c>
      <c r="F18" t="s">
        <v>9</v>
      </c>
      <c r="G18" t="s">
        <v>50</v>
      </c>
      <c r="H18">
        <f>BM107_V6_Layout[[#This Row],[Qty]]*10</f>
        <v>10</v>
      </c>
      <c r="I18" s="1">
        <f>2*23.99</f>
        <v>47.98</v>
      </c>
      <c r="J18">
        <f>BM107_V6_Layout[[#This Row],[Qty]]*100</f>
        <v>100</v>
      </c>
      <c r="K18" s="1">
        <f>20*23.99</f>
        <v>479.79999999999995</v>
      </c>
      <c r="L18" t="s">
        <v>126</v>
      </c>
    </row>
    <row r="19" spans="1:12" x14ac:dyDescent="0.35">
      <c r="A19" t="s">
        <v>51</v>
      </c>
      <c r="B19">
        <v>1</v>
      </c>
      <c r="C19" t="s">
        <v>52</v>
      </c>
      <c r="D19" t="s">
        <v>9</v>
      </c>
      <c r="E19" t="s">
        <v>9</v>
      </c>
      <c r="F19" t="s">
        <v>9</v>
      </c>
      <c r="G19" t="s">
        <v>53</v>
      </c>
      <c r="H19">
        <f>BM107_V6_Layout[[#This Row],[Qty]]*10</f>
        <v>10</v>
      </c>
      <c r="I19" s="1">
        <v>0.68</v>
      </c>
      <c r="J19">
        <f>BM107_V6_Layout[[#This Row],[Qty]]*100</f>
        <v>100</v>
      </c>
      <c r="K19" s="1">
        <v>5.73</v>
      </c>
      <c r="L19" t="s">
        <v>127</v>
      </c>
    </row>
    <row r="20" spans="1:12" x14ac:dyDescent="0.35">
      <c r="A20" t="s">
        <v>54</v>
      </c>
      <c r="B20">
        <v>1</v>
      </c>
      <c r="C20" t="s">
        <v>55</v>
      </c>
      <c r="D20" t="s">
        <v>9</v>
      </c>
      <c r="E20" t="s">
        <v>9</v>
      </c>
      <c r="F20" t="s">
        <v>9</v>
      </c>
      <c r="G20" t="s">
        <v>56</v>
      </c>
      <c r="H20">
        <f>BM107_V6_Layout[[#This Row],[Qty]]*10</f>
        <v>10</v>
      </c>
      <c r="I20" s="4">
        <v>0</v>
      </c>
      <c r="J20">
        <f>BM107_V6_Layout[[#This Row],[Qty]]*100</f>
        <v>100</v>
      </c>
      <c r="K20" s="4">
        <v>0</v>
      </c>
      <c r="L20" t="s">
        <v>128</v>
      </c>
    </row>
    <row r="21" spans="1:12" x14ac:dyDescent="0.35">
      <c r="A21" t="s">
        <v>57</v>
      </c>
      <c r="B21">
        <v>4</v>
      </c>
      <c r="C21" t="s">
        <v>58</v>
      </c>
      <c r="D21" t="s">
        <v>9</v>
      </c>
      <c r="E21" t="s">
        <v>9</v>
      </c>
      <c r="F21" t="s">
        <v>9</v>
      </c>
      <c r="G21" t="s">
        <v>59</v>
      </c>
      <c r="H21">
        <f>BM107_V6_Layout[[#This Row],[Qty]]*10</f>
        <v>40</v>
      </c>
      <c r="I21" s="1">
        <f>4*20.78</f>
        <v>83.12</v>
      </c>
      <c r="J21">
        <f>BM107_V6_Layout[[#This Row],[Qty]]*100</f>
        <v>400</v>
      </c>
      <c r="K21" s="1">
        <f>4*143.58</f>
        <v>574.32000000000005</v>
      </c>
      <c r="L21" t="s">
        <v>129</v>
      </c>
    </row>
    <row r="22" spans="1:12" x14ac:dyDescent="0.35">
      <c r="A22" t="s">
        <v>60</v>
      </c>
      <c r="B22">
        <v>1</v>
      </c>
      <c r="C22" t="s">
        <v>61</v>
      </c>
      <c r="D22" t="s">
        <v>9</v>
      </c>
      <c r="E22" t="s">
        <v>9</v>
      </c>
      <c r="F22" t="s">
        <v>9</v>
      </c>
      <c r="G22" t="s">
        <v>62</v>
      </c>
      <c r="H22">
        <f>BM107_V6_Layout[[#This Row],[Qty]]*10</f>
        <v>10</v>
      </c>
      <c r="I22" s="1">
        <v>0.38</v>
      </c>
      <c r="J22">
        <f>BM107_V6_Layout[[#This Row],[Qty]]*100</f>
        <v>100</v>
      </c>
      <c r="K22" s="1">
        <v>1.93</v>
      </c>
      <c r="L22" t="s">
        <v>130</v>
      </c>
    </row>
    <row r="23" spans="1:12" x14ac:dyDescent="0.35">
      <c r="A23" t="s">
        <v>63</v>
      </c>
      <c r="B23">
        <v>1</v>
      </c>
      <c r="C23" t="s">
        <v>64</v>
      </c>
      <c r="D23" t="s">
        <v>9</v>
      </c>
      <c r="E23" t="s">
        <v>9</v>
      </c>
      <c r="F23" t="s">
        <v>9</v>
      </c>
      <c r="G23" t="s">
        <v>62</v>
      </c>
      <c r="H23">
        <f>BM107_V6_Layout[[#This Row],[Qty]]*10</f>
        <v>10</v>
      </c>
      <c r="I23" s="1">
        <v>0.38</v>
      </c>
      <c r="J23">
        <f>BM107_V6_Layout[[#This Row],[Qty]]*100</f>
        <v>100</v>
      </c>
      <c r="K23" s="1">
        <v>1.93</v>
      </c>
      <c r="L23" t="s">
        <v>131</v>
      </c>
    </row>
    <row r="24" spans="1:12" x14ac:dyDescent="0.35">
      <c r="A24" t="s">
        <v>65</v>
      </c>
      <c r="B24">
        <v>1</v>
      </c>
      <c r="C24" t="s">
        <v>66</v>
      </c>
      <c r="D24" t="s">
        <v>9</v>
      </c>
      <c r="E24" t="s">
        <v>9</v>
      </c>
      <c r="F24" t="s">
        <v>9</v>
      </c>
      <c r="G24" t="s">
        <v>62</v>
      </c>
      <c r="H24">
        <f>BM107_V6_Layout[[#This Row],[Qty]]*10</f>
        <v>10</v>
      </c>
      <c r="I24" s="1">
        <v>0.38</v>
      </c>
      <c r="J24">
        <f>BM107_V6_Layout[[#This Row],[Qty]]*100</f>
        <v>100</v>
      </c>
      <c r="K24" s="1">
        <v>1.93</v>
      </c>
      <c r="L24" t="s">
        <v>131</v>
      </c>
    </row>
    <row r="25" spans="1:12" x14ac:dyDescent="0.35">
      <c r="A25" t="s">
        <v>67</v>
      </c>
      <c r="B25">
        <v>2</v>
      </c>
      <c r="C25" t="s">
        <v>68</v>
      </c>
      <c r="D25" t="s">
        <v>9</v>
      </c>
      <c r="E25" t="s">
        <v>9</v>
      </c>
      <c r="F25" t="s">
        <v>9</v>
      </c>
      <c r="G25" t="s">
        <v>62</v>
      </c>
      <c r="H25">
        <f>BM107_V6_Layout[[#This Row],[Qty]]*10</f>
        <v>20</v>
      </c>
      <c r="I25" s="1">
        <f>2*I24</f>
        <v>0.76</v>
      </c>
      <c r="J25">
        <f>BM107_V6_Layout[[#This Row],[Qty]]*100</f>
        <v>200</v>
      </c>
      <c r="K25" s="1">
        <f>2*K24</f>
        <v>3.86</v>
      </c>
      <c r="L25" t="s">
        <v>131</v>
      </c>
    </row>
    <row r="26" spans="1:12" x14ac:dyDescent="0.35">
      <c r="A26" t="s">
        <v>69</v>
      </c>
      <c r="B26">
        <v>4</v>
      </c>
      <c r="C26" t="s">
        <v>70</v>
      </c>
      <c r="D26" t="s">
        <v>9</v>
      </c>
      <c r="E26" t="s">
        <v>9</v>
      </c>
      <c r="F26" t="s">
        <v>9</v>
      </c>
      <c r="G26" t="s">
        <v>62</v>
      </c>
      <c r="H26">
        <f>BM107_V6_Layout[[#This Row],[Qty]]*10</f>
        <v>40</v>
      </c>
      <c r="I26" s="1">
        <f>4*I24</f>
        <v>1.52</v>
      </c>
      <c r="J26">
        <f>BM107_V6_Layout[[#This Row],[Qty]]*100</f>
        <v>400</v>
      </c>
      <c r="K26" s="1">
        <f>4*K24</f>
        <v>7.72</v>
      </c>
      <c r="L26" t="s">
        <v>131</v>
      </c>
    </row>
    <row r="27" spans="1:12" x14ac:dyDescent="0.35">
      <c r="A27" t="s">
        <v>71</v>
      </c>
      <c r="B27">
        <v>4</v>
      </c>
      <c r="C27" t="s">
        <v>72</v>
      </c>
      <c r="D27" t="s">
        <v>9</v>
      </c>
      <c r="E27" t="s">
        <v>9</v>
      </c>
      <c r="F27" t="s">
        <v>9</v>
      </c>
      <c r="G27" t="s">
        <v>62</v>
      </c>
      <c r="H27">
        <f>BM107_V6_Layout[[#This Row],[Qty]]*10</f>
        <v>40</v>
      </c>
      <c r="I27" s="1">
        <v>1.52</v>
      </c>
      <c r="J27">
        <f>BM107_V6_Layout[[#This Row],[Qty]]*100</f>
        <v>400</v>
      </c>
      <c r="K27" s="1">
        <v>7.72</v>
      </c>
      <c r="L27" t="s">
        <v>131</v>
      </c>
    </row>
    <row r="28" spans="1:12" x14ac:dyDescent="0.35">
      <c r="A28" t="s">
        <v>73</v>
      </c>
      <c r="B28">
        <v>2</v>
      </c>
      <c r="C28" t="s">
        <v>74</v>
      </c>
      <c r="D28" t="s">
        <v>9</v>
      </c>
      <c r="E28" t="s">
        <v>9</v>
      </c>
      <c r="F28" t="s">
        <v>9</v>
      </c>
      <c r="G28" t="s">
        <v>62</v>
      </c>
      <c r="H28">
        <f>BM107_V6_Layout[[#This Row],[Qty]]*10</f>
        <v>20</v>
      </c>
      <c r="I28" s="1">
        <v>0.76</v>
      </c>
      <c r="J28">
        <f>BM107_V6_Layout[[#This Row],[Qty]]*100</f>
        <v>200</v>
      </c>
      <c r="K28" s="1">
        <v>3.86</v>
      </c>
      <c r="L28" t="s">
        <v>131</v>
      </c>
    </row>
    <row r="29" spans="1:12" x14ac:dyDescent="0.35">
      <c r="A29" t="s">
        <v>75</v>
      </c>
      <c r="B29">
        <v>4</v>
      </c>
      <c r="C29" t="s">
        <v>76</v>
      </c>
      <c r="D29" t="s">
        <v>9</v>
      </c>
      <c r="E29" t="s">
        <v>9</v>
      </c>
      <c r="F29" t="s">
        <v>9</v>
      </c>
      <c r="G29" t="s">
        <v>62</v>
      </c>
      <c r="H29">
        <f>BM107_V6_Layout[[#This Row],[Qty]]*10</f>
        <v>40</v>
      </c>
      <c r="I29" s="1">
        <v>1.52</v>
      </c>
      <c r="J29">
        <f>BM107_V6_Layout[[#This Row],[Qty]]*100</f>
        <v>400</v>
      </c>
      <c r="K29" s="1">
        <v>7.72</v>
      </c>
      <c r="L29" t="s">
        <v>131</v>
      </c>
    </row>
    <row r="30" spans="1:12" x14ac:dyDescent="0.35">
      <c r="A30" t="s">
        <v>77</v>
      </c>
      <c r="B30">
        <v>4</v>
      </c>
      <c r="C30" t="s">
        <v>78</v>
      </c>
      <c r="D30" t="s">
        <v>9</v>
      </c>
      <c r="E30" t="s">
        <v>9</v>
      </c>
      <c r="F30" t="s">
        <v>9</v>
      </c>
      <c r="G30" t="s">
        <v>62</v>
      </c>
      <c r="H30">
        <f>BM107_V6_Layout[[#This Row],[Qty]]*10</f>
        <v>40</v>
      </c>
      <c r="I30" s="1">
        <v>1.52</v>
      </c>
      <c r="J30">
        <f>BM107_V6_Layout[[#This Row],[Qty]]*100</f>
        <v>400</v>
      </c>
      <c r="K30" s="1">
        <v>7.72</v>
      </c>
      <c r="L30" t="s">
        <v>131</v>
      </c>
    </row>
    <row r="31" spans="1:12" x14ac:dyDescent="0.35">
      <c r="A31" t="s">
        <v>79</v>
      </c>
      <c r="B31">
        <v>1</v>
      </c>
      <c r="C31" t="s">
        <v>80</v>
      </c>
      <c r="D31" t="s">
        <v>9</v>
      </c>
      <c r="E31" t="s">
        <v>9</v>
      </c>
      <c r="F31" t="s">
        <v>9</v>
      </c>
      <c r="G31" t="s">
        <v>81</v>
      </c>
      <c r="H31">
        <f>BM107_V6_Layout[[#This Row],[Qty]]*10</f>
        <v>10</v>
      </c>
      <c r="I31" s="1">
        <v>14.16</v>
      </c>
      <c r="J31">
        <f>BM107_V6_Layout[[#This Row],[Qty]]*100</f>
        <v>100</v>
      </c>
      <c r="K31" s="1">
        <v>99.94</v>
      </c>
      <c r="L31" t="s">
        <v>132</v>
      </c>
    </row>
    <row r="32" spans="1:12" x14ac:dyDescent="0.35">
      <c r="A32" t="s">
        <v>82</v>
      </c>
      <c r="B32">
        <v>1</v>
      </c>
      <c r="C32" t="s">
        <v>83</v>
      </c>
      <c r="D32" t="s">
        <v>9</v>
      </c>
      <c r="E32" t="s">
        <v>9</v>
      </c>
      <c r="F32" t="s">
        <v>9</v>
      </c>
      <c r="G32" t="s">
        <v>84</v>
      </c>
      <c r="H32">
        <f>BM107_V6_Layout[[#This Row],[Qty]]*10</f>
        <v>10</v>
      </c>
      <c r="I32" s="1">
        <v>20.6</v>
      </c>
      <c r="J32">
        <f>BM107_V6_Layout[[#This Row],[Qty]]*100</f>
        <v>100</v>
      </c>
      <c r="K32" s="1">
        <v>169.83</v>
      </c>
      <c r="L32" t="s">
        <v>133</v>
      </c>
    </row>
    <row r="33" spans="1:12" x14ac:dyDescent="0.35">
      <c r="A33" t="s">
        <v>85</v>
      </c>
      <c r="B33">
        <v>1</v>
      </c>
      <c r="C33" t="s">
        <v>86</v>
      </c>
      <c r="D33" t="s">
        <v>9</v>
      </c>
      <c r="E33" t="s">
        <v>9</v>
      </c>
      <c r="F33" t="s">
        <v>9</v>
      </c>
      <c r="G33" t="s">
        <v>87</v>
      </c>
      <c r="H33">
        <f>BM107_V6_Layout[[#This Row],[Qty]]*10</f>
        <v>10</v>
      </c>
      <c r="I33" s="1">
        <v>43.2</v>
      </c>
      <c r="J33">
        <f>BM107_V6_Layout[[#This Row],[Qty]]*100</f>
        <v>100</v>
      </c>
      <c r="K33" s="1">
        <v>359</v>
      </c>
      <c r="L33" t="s">
        <v>134</v>
      </c>
    </row>
    <row r="34" spans="1:12" x14ac:dyDescent="0.35">
      <c r="A34" t="s">
        <v>88</v>
      </c>
      <c r="B34">
        <v>1</v>
      </c>
      <c r="C34" t="s">
        <v>89</v>
      </c>
      <c r="D34" t="s">
        <v>9</v>
      </c>
      <c r="E34" t="s">
        <v>9</v>
      </c>
      <c r="F34" t="s">
        <v>9</v>
      </c>
      <c r="G34" t="s">
        <v>90</v>
      </c>
      <c r="H34">
        <f>BM107_V6_Layout[[#This Row],[Qty]]*10</f>
        <v>10</v>
      </c>
      <c r="I34" s="4">
        <v>23</v>
      </c>
      <c r="J34">
        <f>BM107_V6_Layout[[#This Row],[Qty]]*100</f>
        <v>100</v>
      </c>
      <c r="K34" s="4">
        <v>200</v>
      </c>
      <c r="L34" t="s">
        <v>135</v>
      </c>
    </row>
    <row r="35" spans="1:12" x14ac:dyDescent="0.35">
      <c r="A35" t="s">
        <v>91</v>
      </c>
      <c r="B35">
        <v>1</v>
      </c>
      <c r="C35" t="s">
        <v>92</v>
      </c>
      <c r="D35" t="s">
        <v>9</v>
      </c>
      <c r="E35" t="s">
        <v>9</v>
      </c>
      <c r="F35" t="s">
        <v>9</v>
      </c>
      <c r="G35" t="s">
        <v>87</v>
      </c>
      <c r="H35">
        <f>BM107_V6_Layout[[#This Row],[Qty]]*10</f>
        <v>10</v>
      </c>
      <c r="I35" s="1">
        <v>74.599999999999994</v>
      </c>
      <c r="J35">
        <f>BM107_V6_Layout[[#This Row],[Qty]]*100</f>
        <v>100</v>
      </c>
      <c r="K35" s="1">
        <v>636</v>
      </c>
      <c r="L35" t="s">
        <v>136</v>
      </c>
    </row>
    <row r="36" spans="1:12" x14ac:dyDescent="0.35">
      <c r="A36" t="s">
        <v>93</v>
      </c>
      <c r="B36">
        <v>1</v>
      </c>
      <c r="C36" t="s">
        <v>94</v>
      </c>
      <c r="D36" t="s">
        <v>9</v>
      </c>
      <c r="E36" t="s">
        <v>9</v>
      </c>
      <c r="F36" t="s">
        <v>9</v>
      </c>
      <c r="G36" t="s">
        <v>95</v>
      </c>
      <c r="H36">
        <f>BM107_V6_Layout[[#This Row],[Qty]]*10</f>
        <v>10</v>
      </c>
      <c r="I36" s="1">
        <v>5.56</v>
      </c>
      <c r="J36">
        <f>BM107_V6_Layout[[#This Row],[Qty]]*100</f>
        <v>100</v>
      </c>
      <c r="K36" s="1">
        <v>43.6</v>
      </c>
      <c r="L36" t="s">
        <v>137</v>
      </c>
    </row>
    <row r="37" spans="1:12" x14ac:dyDescent="0.35">
      <c r="A37" t="s">
        <v>96</v>
      </c>
      <c r="B37">
        <v>1</v>
      </c>
      <c r="C37" t="s">
        <v>97</v>
      </c>
      <c r="D37" t="s">
        <v>9</v>
      </c>
      <c r="E37" t="s">
        <v>9</v>
      </c>
      <c r="F37" t="s">
        <v>9</v>
      </c>
      <c r="G37" t="s">
        <v>90</v>
      </c>
      <c r="H37">
        <f>BM107_V6_Layout[[#This Row],[Qty]]*10</f>
        <v>10</v>
      </c>
      <c r="I37" s="1">
        <v>23.12</v>
      </c>
      <c r="J37">
        <f>BM107_V6_Layout[[#This Row],[Qty]]*100</f>
        <v>100</v>
      </c>
      <c r="K37" s="4">
        <v>219</v>
      </c>
      <c r="L37" t="s">
        <v>138</v>
      </c>
    </row>
    <row r="38" spans="1:12" x14ac:dyDescent="0.35">
      <c r="A38" t="s">
        <v>98</v>
      </c>
      <c r="B38">
        <v>1</v>
      </c>
      <c r="C38" t="s">
        <v>99</v>
      </c>
      <c r="D38" t="s">
        <v>9</v>
      </c>
      <c r="E38" t="s">
        <v>9</v>
      </c>
      <c r="F38" t="s">
        <v>9</v>
      </c>
      <c r="G38" t="s">
        <v>100</v>
      </c>
      <c r="H38">
        <f>BM107_V6_Layout[[#This Row],[Qty]]*10</f>
        <v>10</v>
      </c>
      <c r="I38" s="1">
        <v>27.2</v>
      </c>
      <c r="J38">
        <f>BM107_V6_Layout[[#This Row],[Qty]]*100</f>
        <v>100</v>
      </c>
      <c r="K38" s="1">
        <v>226</v>
      </c>
      <c r="L38" t="s">
        <v>139</v>
      </c>
    </row>
    <row r="39" spans="1:12" x14ac:dyDescent="0.35">
      <c r="A39" t="s">
        <v>101</v>
      </c>
      <c r="B39">
        <v>1</v>
      </c>
      <c r="C39" t="s">
        <v>102</v>
      </c>
      <c r="D39" t="s">
        <v>9</v>
      </c>
      <c r="E39" t="s">
        <v>9</v>
      </c>
      <c r="F39" t="s">
        <v>9</v>
      </c>
      <c r="G39" t="s">
        <v>95</v>
      </c>
      <c r="H39">
        <f>BM107_V6_Layout[[#This Row],[Qty]]*10</f>
        <v>10</v>
      </c>
      <c r="I39" s="1">
        <v>2.4</v>
      </c>
      <c r="J39">
        <f>BM107_V6_Layout[[#This Row],[Qty]]*100</f>
        <v>100</v>
      </c>
      <c r="K39" s="1">
        <v>18.5</v>
      </c>
      <c r="L39" t="s">
        <v>140</v>
      </c>
    </row>
    <row r="40" spans="1:12" x14ac:dyDescent="0.35">
      <c r="A40" t="s">
        <v>103</v>
      </c>
      <c r="B40">
        <v>2</v>
      </c>
      <c r="C40" t="s">
        <v>104</v>
      </c>
      <c r="D40" t="s">
        <v>9</v>
      </c>
      <c r="E40" t="s">
        <v>9</v>
      </c>
      <c r="F40" t="s">
        <v>9</v>
      </c>
      <c r="G40" t="s">
        <v>105</v>
      </c>
      <c r="H40">
        <f>BM107_V6_Layout[[#This Row],[Qty]]*10</f>
        <v>20</v>
      </c>
      <c r="I40" s="1">
        <v>20.6</v>
      </c>
      <c r="J40">
        <f>BM107_V6_Layout[[#This Row],[Qty]]*100</f>
        <v>200</v>
      </c>
      <c r="K40" s="4">
        <v>166</v>
      </c>
      <c r="L40" t="s">
        <v>141</v>
      </c>
    </row>
  </sheetData>
  <phoneticPr fontId="2" type="noConversion"/>
  <hyperlinks>
    <hyperlink ref="L3" r:id="rId1" xr:uid="{2B424478-8708-499B-B929-CDE4A711485D}"/>
    <hyperlink ref="L5" r:id="rId2" xr:uid="{5B008624-0601-42D5-935D-1AF0FD4DFB58}"/>
    <hyperlink ref="L15" r:id="rId3" xr:uid="{45AD215F-AACC-4429-A998-55F979167A23}"/>
  </hyperlinks>
  <pageMargins left="0.7" right="0.7" top="0.78740157499999996" bottom="0.78740157499999996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AE9DB-21E6-4B31-BFCB-8BDB277A0622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FABADF-CDBA-48F8-96B0-ABA13DFD53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BM107_V6_Layout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Jungwirth</dc:creator>
  <cp:lastModifiedBy>Marian Jungwirth</cp:lastModifiedBy>
  <dcterms:created xsi:type="dcterms:W3CDTF">2026-06-23T10:26:38Z</dcterms:created>
  <dcterms:modified xsi:type="dcterms:W3CDTF">2026-06-24T12:35:29Z</dcterms:modified>
</cp:coreProperties>
</file>