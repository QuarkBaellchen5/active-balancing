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Dokumentation\"/>
    </mc:Choice>
  </mc:AlternateContent>
  <xr:revisionPtr revIDLastSave="0" documentId="13_ncr:1_{613DA395-0AC2-4952-96FD-499D95D532B4}" xr6:coauthVersionLast="47" xr6:coauthVersionMax="47" xr10:uidLastSave="{00000000-0000-0000-0000-000000000000}"/>
  <bookViews>
    <workbookView xWindow="-14505" yWindow="0" windowWidth="14610" windowHeight="15585" xr2:uid="{CAA5690E-E7E9-408F-8A2E-5DFFF73490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0" i="1" l="1"/>
  <c r="L13" i="1"/>
  <c r="L12" i="1"/>
  <c r="L9" i="1"/>
  <c r="L8" i="1"/>
  <c r="M6" i="1"/>
  <c r="L4" i="1"/>
  <c r="L3" i="1"/>
</calcChain>
</file>

<file path=xl/sharedStrings.xml><?xml version="1.0" encoding="utf-8"?>
<sst xmlns="http://schemas.openxmlformats.org/spreadsheetml/2006/main" count="37" uniqueCount="37">
  <si>
    <t>Bauteil</t>
  </si>
  <si>
    <t>Teilenummer</t>
  </si>
  <si>
    <t>Maximale Leistungsaufnahme</t>
  </si>
  <si>
    <t>Leistungsaufnahme der +-5V Spannungsversorgung des EC1SA16N</t>
  </si>
  <si>
    <t>4-Fach Operationsverstärker</t>
  </si>
  <si>
    <t>TL084HIDR</t>
  </si>
  <si>
    <t>940μA/ch</t>
  </si>
  <si>
    <t>P = 4ch*10V*940μA/ch</t>
  </si>
  <si>
    <t>PCF8575DBR</t>
  </si>
  <si>
    <t>Port Expander</t>
  </si>
  <si>
    <t>100 kHz max 90uA bei 5V unloaded Pins</t>
  </si>
  <si>
    <t>NTTFS6H888NLTAG</t>
  </si>
  <si>
    <t>Mosfet zum Schalten der Zelle</t>
  </si>
  <si>
    <t>3nC Kapazität am Gate -&gt; Leistung nicht relevant (3nC * 5V = 15nJ)</t>
  </si>
  <si>
    <t>Optokoppler</t>
  </si>
  <si>
    <t>LTV-847S</t>
  </si>
  <si>
    <t>[W]</t>
  </si>
  <si>
    <t xml:space="preserve">4.2 Forward Voltage LED max 1.4V bei 20mA </t>
  </si>
  <si>
    <t>Pmax LED 70mW</t>
  </si>
  <si>
    <t>maximal 50 mA, typisch 10-20mA</t>
  </si>
  <si>
    <t>Mit 680 Ohm Vorwiderstand, ULED = 1.2V, I = 5.6mA</t>
  </si>
  <si>
    <t>DAC</t>
  </si>
  <si>
    <t>MCP4725</t>
  </si>
  <si>
    <t>Supply current max 400uA bei 5.5V</t>
  </si>
  <si>
    <t>PCA9306DCTR</t>
  </si>
  <si>
    <t>Pegelwandler I2C</t>
  </si>
  <si>
    <t>Nicht relevant</t>
  </si>
  <si>
    <t>Linearwandler</t>
  </si>
  <si>
    <t>Kaum Stromabnahme also nicht relevant</t>
  </si>
  <si>
    <t>lm1117</t>
  </si>
  <si>
    <t>ADUM1250ARZ</t>
  </si>
  <si>
    <t>I2C ISO</t>
  </si>
  <si>
    <t xml:space="preserve">Kaum relevant, 10uA leackage </t>
  </si>
  <si>
    <t>STM32 Pluepill</t>
  </si>
  <si>
    <t>Maximal 30mA Stromaufnahme bei 5V Versorgungsspannung</t>
  </si>
  <si>
    <t>Summe</t>
  </si>
  <si>
    <t>maximal 1W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</si>
</sst>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A05-8E6B-4811-B4A6-C4D69FF06C17}">
  <dimension ref="A1:N20"/>
  <sheetViews>
    <sheetView tabSelected="1" zoomScale="69" workbookViewId="0">
      <selection activeCell="K31" sqref="K31"/>
    </sheetView>
  </sheetViews>
  <sheetFormatPr baseColWidth="10" defaultRowHeight="14.5" x14ac:dyDescent="0.35"/>
  <sheetData>
    <row r="1" spans="1:14" x14ac:dyDescent="0.35">
      <c r="A1" t="s">
        <v>3</v>
      </c>
    </row>
    <row r="2" spans="1:14" x14ac:dyDescent="0.35">
      <c r="A2" t="s">
        <v>0</v>
      </c>
      <c r="D2" t="s">
        <v>1</v>
      </c>
      <c r="F2" t="s">
        <v>2</v>
      </c>
      <c r="L2" t="s">
        <v>16</v>
      </c>
    </row>
    <row r="3" spans="1:14" x14ac:dyDescent="0.35">
      <c r="A3" t="s">
        <v>4</v>
      </c>
      <c r="D3" t="s">
        <v>5</v>
      </c>
      <c r="F3" t="s">
        <v>6</v>
      </c>
      <c r="G3" t="s">
        <v>7</v>
      </c>
      <c r="L3">
        <f>4*10*940*10^-6</f>
        <v>3.7600000000000001E-2</v>
      </c>
    </row>
    <row r="4" spans="1:14" x14ac:dyDescent="0.35">
      <c r="A4" t="s">
        <v>9</v>
      </c>
      <c r="D4" t="s">
        <v>8</v>
      </c>
      <c r="F4" t="s">
        <v>10</v>
      </c>
      <c r="L4">
        <f>90*10^-6*5</f>
        <v>4.4999999999999999E-4</v>
      </c>
    </row>
    <row r="5" spans="1:14" x14ac:dyDescent="0.35">
      <c r="A5" t="s">
        <v>12</v>
      </c>
      <c r="D5" t="s">
        <v>11</v>
      </c>
      <c r="F5" t="s">
        <v>13</v>
      </c>
    </row>
    <row r="6" spans="1:14" x14ac:dyDescent="0.35">
      <c r="A6" t="s">
        <v>14</v>
      </c>
      <c r="D6" t="s">
        <v>15</v>
      </c>
      <c r="F6" t="s">
        <v>17</v>
      </c>
      <c r="M6">
        <f>1.4*0.02</f>
        <v>2.7999999999999997E-2</v>
      </c>
    </row>
    <row r="7" spans="1:14" x14ac:dyDescent="0.35">
      <c r="F7" t="s">
        <v>18</v>
      </c>
      <c r="M7">
        <v>7.0000000000000007E-2</v>
      </c>
      <c r="N7" t="s">
        <v>19</v>
      </c>
    </row>
    <row r="8" spans="1:14" x14ac:dyDescent="0.35">
      <c r="F8" t="s">
        <v>20</v>
      </c>
      <c r="L8">
        <f>1.2*0.0056</f>
        <v>6.7199999999999994E-3</v>
      </c>
    </row>
    <row r="9" spans="1:14" x14ac:dyDescent="0.35">
      <c r="A9" t="s">
        <v>21</v>
      </c>
      <c r="D9" t="s">
        <v>22</v>
      </c>
      <c r="F9" t="s">
        <v>23</v>
      </c>
      <c r="L9">
        <f>5*400*10^-6</f>
        <v>2E-3</v>
      </c>
    </row>
    <row r="10" spans="1:14" x14ac:dyDescent="0.35">
      <c r="A10" t="s">
        <v>25</v>
      </c>
      <c r="D10" t="s">
        <v>24</v>
      </c>
      <c r="F10" t="s">
        <v>26</v>
      </c>
    </row>
    <row r="11" spans="1:14" x14ac:dyDescent="0.35">
      <c r="A11" t="s">
        <v>27</v>
      </c>
      <c r="D11" t="s">
        <v>29</v>
      </c>
      <c r="F11" t="s">
        <v>28</v>
      </c>
    </row>
    <row r="12" spans="1:14" x14ac:dyDescent="0.35">
      <c r="A12" t="s">
        <v>31</v>
      </c>
      <c r="D12" t="s">
        <v>30</v>
      </c>
      <c r="F12" t="s">
        <v>32</v>
      </c>
      <c r="L12">
        <f>5*10*10^-6</f>
        <v>4.9999999999999996E-5</v>
      </c>
    </row>
    <row r="13" spans="1:14" x14ac:dyDescent="0.35">
      <c r="A13" t="s">
        <v>33</v>
      </c>
      <c r="F13" t="s">
        <v>34</v>
      </c>
      <c r="L13">
        <f>5*0.03</f>
        <v>0.15</v>
      </c>
    </row>
    <row r="20" spans="12:14" x14ac:dyDescent="0.35">
      <c r="L20">
        <f>SUM(L3:L19)</f>
        <v>0.19681999999999999</v>
      </c>
      <c r="M20" t="s">
        <v>35</v>
      </c>
      <c r="N20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2026-05-19T10:26:14Z</dcterms:created>
  <dcterms:modified xsi:type="dcterms:W3CDTF">2026-05-19T11:42:18Z</dcterms:modified>
</cp:coreProperties>
</file>